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C00000"/>
      <sz val="10"/>
    </font>
    <font>
      <name val="Arial"/>
      <b val="1"/>
      <color rgb="002C5F2D"/>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EXAMPLE</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4836</t>
        </is>
      </c>
      <c r="C2" s="7" t="inlineStr">
        <is>
          <t>PATIENT PROFILE
  Age: 27.0
  Gender: Male
  Weight (kg): 80
  Height (cm): 183
  BMI: 23.9
  Genetic Disorders: G-6-PD deficiency
  Chronic Conditions: Not reported
  Pregnancy / Breastfeeding: Not applicable (male)
  Drug Allergies: Not reported
  Renal Impairment: None (CrCl 115 mL/min)
  Hepatic Impairment: Not reported
  Cardiac Impairment: Not reported
  Respiratory Impairment: Not reported
  Alcohol Use: Social (2-3 drinks/week)
  Tobacco Use: Never
  Substance Use: Occasional cannabis
  Caffeine Intake: High (4 cups coffee/day)
  Current Medications: prilocaine (dental local anesthetic given for a procedure)
  Foods (Last 24h): sandwich, energy drink
  Symptoms: Dysuria after recent instrumentation
PHYSICIAN ASSESSMENT
  Diagnosis: Dysuria from lower urinary tract irritation
  Recommended Medication: Phenazopyridine
  Dosage: 200 mg PO three times daily after meals
  Duration: 2 days
CLINICAL SCENARIO
  A 27-year-old man with G-6-PD deficiency who received prilocaine for a dental procedure now has dysuria; phenazopyridine is offered. Is this safe?</t>
        </is>
      </c>
      <c r="D2" s="8" t="inlineStr">
        <is>
          <t>UNSAFE</t>
        </is>
      </c>
      <c r="E2" s="9" t="inlineStr">
        <is>
          <t>Allergy/ADR
Drug-Drug</t>
        </is>
      </c>
      <c r="F2" s="10" t="inlineStr">
        <is>
          <t>CONFLICT IDENTIFICATION: The decisive conflict is the patient’s genetic disorder—G-6-PD deficiency—coupled with recent administration of prilocaine (a dental local anesthetic) and the proposed introduction of phenazopyridine. Both prilocaine and phenazopyridine are oxidant drugs that can trigger acute hemolytic anemia and methemoglobinemia in G‑6‑PD‑deficient individuals.
PHARMACOLOGICAL RULE: G‑6‑PD deficiency compromises the pentose phosphate pathway, reducing the cell’s capacity to regenerate glutathione and neutralize oxidative stress. Oxidant drugs such as prilocaine and phenazopyridine can induce hemolysis and methemoglobinemia. Concurrent use of two oxidants creates a synergistic hazard for severe hematologic toxicity.
LOGICAL BRIDGE: Although phenazopyridine alone is often considered safe for short‑term use, this patient already carries an oxidative burden from recent prilocaine exposure. Adding phenazopyridine would markedly elevate the cumulative oxidant stress, making a hemolytic or methemoglobinemic event highly probable. This cumulative risk overrides any general safety assumptions, rendering the prescription unsafe.
CATEGORY AUDIT:
- Allergy &amp; Adverse Drug Reaction Risk: TRUE. G‑6‑PD deficiency predisposes to oxidant‑induced hemolytic anemia and methemoglobinemia; prilocaine primes this vulnerability.
- Drug-Drug Interaction Risk: TRUE. Additive methemoglobin‑forming potential between prilocaine and phenazopyridine.
- Drug-Food Interaction Risk: FALSE. No known interaction with reported foods (sandwich, energy drink).
- Dosage &amp; Toxicity Risk: FALSE. Dosage is standard; toxicity concern stems from the interaction, not dose alone.
- Renal Impairment Risk: FALSE. CrCl 115 mL/min — normal function, no concern.
- Hepatic Impairment Risk: FALSE. No impairment noted.
- Cardiac Impairment Risk: FALSE. None.
- Respiratory Impairment Risk: FALSE. None.
- Bleeding Risk: FALSE. No anticoagulant use or bleeding diathesis.
- Infection Risk: FALSE. Dysuria is non‑infectious irritation; no immunocompromise.
- Pregnancy &amp; Breastfeeding Risk: FALSE. Male patient, not applicable.
- Alcohol Use Risk: FALSE. Social use (2–3 drinks/week) does not interact significantly.
- Tobacco Use Risk: FALSE. Never smoker.
- Substance Use Risk: FALSE. Occasional cannabis without known relevant interaction.
- Caffeine Intake Risk: FALSE. High caffeine may irritate bladder but does not alter phenazopyridine safety profile.
- Weight/BMI Risk: FALSE. BMI 23.9 — normal.
- Age Risk: FALSE. 27‑year‑old; no age‑related contraindication.
FINAL VERDICT: The patient’s G‑6‑PD deficiency, combined with recent prilocaine exposure, makes the addition of phenazopyridine unsafe because the cumulative oxidant stress imposes an unacceptable risk of acute hemolytic anemia and methemoglobinemia, confirming the ground‑truth ‘Unsafe’ label.</t>
        </is>
      </c>
      <c r="G2" s="11" t="n"/>
      <c r="H2" s="11" t="n"/>
      <c r="I2" s="11" t="n"/>
      <c r="J2" s="11" t="n"/>
      <c r="K2" s="11" t="n"/>
      <c r="L2" s="11" t="n"/>
      <c r="M2" s="11" t="n"/>
      <c r="N2" s="11" t="n"/>
      <c r="O2" s="12" t="n"/>
    </row>
    <row r="3" ht="180" customHeight="1">
      <c r="A3" s="6" t="n">
        <v>2</v>
      </c>
      <c r="B3" s="6" t="inlineStr">
        <is>
          <t>1417</t>
        </is>
      </c>
      <c r="C3" s="7" t="inlineStr">
        <is>
          <t>PATIENT PROFILE
  Age: 55.0
  Gender: Male
  Weight (kg): 82
  Height (cm): 180
  BMI: 25.3
  Genetic Disorders: Not reported
  Chronic Conditions: Lymphoma (undergoing staging)
  Pregnancy / Breastfeeding: Not applicable
  Drug Allergies: Not reported
  Renal Impairment: Baseline mild (CrCl ~55)
  Hepatic Impairment: Not reported
  Cardiac Impairment: Not reported
  Respiratory Impairment: Not reported
  Alcohol Use: Not reported
  Tobacco Use: Never
  Substance Use: Not reported
  Caffeine Intake: 2 coffees/day
  Current Medications: Acyclovir IV (for zoster)
  Foods (Last 24h): Regular diet
  Symptoms: Healing zoster rash; scheduled for staging CT
PHYSICIAN ASSESSMENT
  Diagnosis: Herpes zoster with concurrent contrast-enhanced CT imaging
  Recommended Medication: Iohexol (iodinated IV contrast) given during IV acyclovir course
  Dosage: Contrast per CT protocol
  Duration: Single imaging study
CLINICAL SCENARIO
  A 55-year-old man on IV acyclovir for herpes zoster is scheduled for a contrast-enhanced staging CT using iohexol on the same day.</t>
        </is>
      </c>
      <c r="D3" s="8" t="inlineStr">
        <is>
          <t>UNSAFE</t>
        </is>
      </c>
      <c r="E3" s="9" t="inlineStr">
        <is>
          <t>Drug-Drug
Renal</t>
        </is>
      </c>
      <c r="F3" s="10" t="inlineStr">
        <is>
          <t>CONFLICT IDENTIFICATION: The primary hazards are the patient’s baseline mild renal impairment (CrCl ~55 mL/min) and the concurrent scheduled administration of IV acyclovir (for herpes zoster) and iohexol (iodinated contrast for staging CT). Both agents are nephrotoxic and rely on renal excretion, creating a compounded risk for acute kidney injury.
PHARMACOLOGICAL RULE: IV acyclovir can cause crystalline nephropathy and acute tubular necrosis, particularly in patients with pre-existing renal impairment or dehydration. Iohexol, an iodinated contrast medium, is associated with contrast-induced nephropathy (CIN) through renal vasoconstriction and direct tubular toxicity. Coadministration of these two nephrotoxins in a patient with mildly reduced kidney function multiplicatively elevates the risk of renal function decline, a well-documented drug–drug interaction that demands dose adjustment, hydration, or spacing of doses.
LOGICAL BRIDGE: General safety assumptions for either agent alone (e.g., acyclovir dose adjustment for renal impairment, or prophylactic hydration for contrast) are insufficient to override the risk when both are given on the same day. The patient’s specific profile—mild renal impairment plus concurrent nephrotoxic drugs—necessitates the unsafe verdict because precautionary measures (e.g., delaying contrast or switching to a non-iodinated alternative) are not mentioned, and the interaction is clinically significant.
CATEGORY AUDIT:
- Allergy &amp; Adverse Drug Reaction Risk: FALSE — no known drug allergies.
- Drug-Drug Interaction Risk: TRUE — IV acyclovir and iohexol both impair renal function; coadministration raises acute kidney injury risk.
- Drug-Food Interaction Risk: FALSE — regular diet does not interact.
- Dosage &amp; Toxicity Risk: FALSE — doses are per protocol; toxicity risk is from interaction, not dosage per se.
- Renal Impairment Risk: TRUE — baseline CrCl ~55 mL/min predisposes to nephrotoxicity from both agents.
- Hepatic Impairment Risk: FALSE — no hepatic impairment.
- Cardiac Impairment Risk: FALSE — no cardiac impairment.
- Respiratory Impairment Risk: FALSE — no respiratory impairment.
- Bleeding Risk: FALSE — not applicable.
- Infection Risk: FALSE — not related to drug safety.
- Pregnancy &amp; Breastfeeding Risk: FALSE — not applicable.
- Alcohol Use Risk: FALSE — no alcohol use.
- Tobacco Use Risk: FALSE — never smoker.
- Substance Use Risk: FALSE — no substance use.
- Caffeine Intake Risk: FALSE — 2 coffees/day is benign.
- Weight/BMI Risk: FALSE — BMI 25.3 is mildly elevated but not a risk factor for this interaction.
- Age Risk: FALSE — age 55 does not independently increase risk.
FINAL VERDICT: The ground-truth unsafe verdict is determined by the synergistic nephrotoxic potential of IV acyclovir and iohexol in a patient with pre-existing mild renal impairment, creating a clinically significant drug–drug interaction and elevated renal risk that cannot be safely ignored.</t>
        </is>
      </c>
      <c r="G3" s="11" t="n"/>
      <c r="H3" s="11" t="n"/>
      <c r="I3" s="11" t="n"/>
      <c r="J3" s="11" t="n"/>
      <c r="K3" s="11" t="n"/>
      <c r="L3" s="11" t="n"/>
      <c r="M3" s="11" t="n"/>
      <c r="N3" s="11" t="n"/>
      <c r="O3" s="12" t="n"/>
    </row>
    <row r="4" ht="180" customHeight="1">
      <c r="A4" s="6" t="n">
        <v>3</v>
      </c>
      <c r="B4" s="6" t="inlineStr">
        <is>
          <t>2749</t>
        </is>
      </c>
      <c r="C4" s="7" t="inlineStr">
        <is>
          <t>PATIENT PROFILE
  Age: 36.0
  Gender: Male
  Weight (kg): 79
  Height (cm): 177
  BMI: 25.2
  Genetic Disorders: Not reported
  Chronic Conditions: Dermatitis herpetiformis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Dermatitis herpetiformis
  Recommended Medication: Prednisolone (oral)
  Dosage: 20 mg orally once daily
  Duration: 7 days
CLINICAL SCENARIO
  36M with dermatitis herpetiformis, otherwise healthy, moderate caffeine intake, no alcohol, no grapefruit.</t>
        </is>
      </c>
      <c r="D4" s="13" t="inlineStr">
        <is>
          <t>SAFE</t>
        </is>
      </c>
      <c r="E4" s="9" t="inlineStr">
        <is>
          <t>(none)</t>
        </is>
      </c>
      <c r="F4" s="10" t="inlineStr">
        <is>
          <t>## CATEGORY AUDIT
- Allergy &amp; Adverse Drug Reaction Risk: FALSE – no known allergies; prednisolone is not contraindicated.  
- Drug-Drug Interaction Risk: FALSE – no concurrent medications reported.  
- Drug-Food Interaction Risk: FALSE – no grapefruit; regular diet poses no interaction.  
- Dosage &amp; Toxicity Risk: FALSE – 20 mg once daily is standard low‑moderate dose; 7‑day short course mitigates toxicity.  
- Renal Impairment Risk: FALSE – no renal impairment; prednisolone does not require renal adjustment.  
- Hepatic Impairment Risk: FALSE – hepatic function is normal; caution only in severe impairment, not present.  
- Cardiac Impairment Risk: FALSE – no cardiac disease; short‑term low‑dose prednisolone has negligible cardiac effect.  
- Respiratory Impairment Risk: FALSE – no respiratory condition.  
- Bleeding Risk: FALSE – no anticoagulants or bleeding disorder; short‑term glucocorticoids do not elevate bleeding risk.  
- Infection Risk: FALSE – immunocompetent adult; 7‑day course does not confer meaningful immunosuppression.  
- Pregnancy &amp; Breastfeeding Risk: FALSE – male patient.  
- Alcohol Use Risk: FALSE – no alcohol consumption.  
- Tobacco Use Risk: FALSE – non‑smoker.  
- Substance Use Risk: FALSE – no substance use.  
- Caffeine Intake Risk: FALSE – moderate caffeine; no significant interaction with prednisolone.  
- Weight/BMI Risk: FALSE – BMI 25.2 (overweight) but not obese; corticosteroid dosing does not require weight‑based adjustment.  
- Age Risk: FALSE – age 36 is within the safe adult range.  
## VERDICT
The regimen is safe because all 17 risk categories are confirmed absent in this otherwise healthy adult male with dermatitis herpetiformis, and the moderate, short‑course dose of prednisolone aligns with standard practice without any patient‑specific contraindication.</t>
        </is>
      </c>
      <c r="G4" s="11" t="n"/>
      <c r="H4" s="11" t="n"/>
      <c r="I4" s="11" t="n"/>
      <c r="J4" s="11" t="n"/>
      <c r="K4" s="11" t="n"/>
      <c r="L4" s="11" t="n"/>
      <c r="M4" s="11" t="n"/>
      <c r="N4" s="11" t="n"/>
      <c r="O4" s="12" t="n"/>
    </row>
    <row r="5" ht="180" customHeight="1">
      <c r="A5" s="6" t="n">
        <v>4</v>
      </c>
      <c r="B5" s="6" t="inlineStr">
        <is>
          <t>2319</t>
        </is>
      </c>
      <c r="C5" s="10" t="inlineStr">
        <is>
          <t>PATIENT PROFILE
  Age: 33.0
  Gender: Female
  Weight (kg): 60
  Height (cm): 162
  BMI: 22.9
  Genetic Disorders: Not reported
  Chronic Conditions: Schizophrenia
  Pregnancy / Breastfeeding: Not applicable
  Drug Allergies: None known
  Renal Impairment: Not reported
  Hepatic Impairment: Not reported
  Cardiac Impairment: Not reported
  Respiratory Impairment: Not reported
  Alcohol Use: Acute intoxication on arrival
  Tobacco Use: Never
  Substance Use: Not reported
  Caffeine Intake: Low (occasional)
  Current Medications: Not reported
  Foods (Last 24h): Regular balanced meals
  Symptoms: Slurred speech, ataxia, drowsiness
PHYSICIAN ASSESSMENT
  Diagnosis: Schizophrenia; acute alcohol intoxication
  Recommended Medication: Olanzapine (oral tablet)
  Dosage: 10 mg orally once daily
  Duration: Ongoing
CLINICAL SCENARIO
  An acutely intoxicated patient presents having taken olanzapine; staff consider continuing the dose.</t>
        </is>
      </c>
      <c r="D5" s="8" t="inlineStr">
        <is>
          <t>UNSAFE</t>
        </is>
      </c>
      <c r="E5" s="9" t="inlineStr">
        <is>
          <t>Drug-Food
Respiratory
Alcohol</t>
        </is>
      </c>
      <c r="F5" s="10" t="inlineStr">
        <is>
          <t>CONFLICT IDENTIFICATION: The patient presents with acute alcohol intoxication (slurred speech, ataxia, drowsiness) while on olanzapine for schizophrenia. The primary hazard is additive central nervous system depression from the concurrent use of two CNS-depressant agents.
PHARMACOLOGICAL RULE: Olanzapine, an atypical antipsychotic, exerts sedative effects via antagonism at dopamine D₂ and serotonin 5‑HT₂A receptors. Alcohol is a direct CNS depressant. Co‑administration results in synergistic sedation, impaired psychomotor coordination, and an elevated risk of respiratory depression, aspiration, and accidental injury.
LOGICAL BRIDGE: Although olanzapine is indicated for schizophrenia maintenance, the patient is acutely intoxicated. Her presenting symptoms already reflect alcohol‑induced CNS depression. Continuing olanzapine in this state would amplify these effects, bypassing general safety assumptions and rendering the intervention unsafe until intoxication resolves.
CATEGORY AUDIT:
- Allergy &amp; Adverse Drug Reaction Risk: False. No known allergies; no prior reaction.
- Drug-Drug Interaction Risk: False. No other concurrent medications listed.
- Drug-Food Interaction Risk: True. Acute alcohol consumption (often grouped under drug‑food interactions) potentiates olanzapine’s sedative effect and increases CNS depression.
- Dosage &amp; Toxicity Risk: False. 10 mg daily is a standard maintenance dose for schizophrenia.
- Renal Impairment Risk: False. No renal impairment documented; clearance adequate.
- Hepatic Impairment Risk: False. No hepatic impairment noted.
- Cardiac Impairment Risk: False. No cardiac impairment; olanzapine’s QT risk is minimal and not triggered here.
- Respiratory Impairment Risk: True. Additive CNS depression from alcohol and olanzapine raises the risk of respiratory depression.
- Bleeding Risk: False. No bleeding risk factors or anticoagulant use.
- Infection Risk: False. No immunosuppression or infection present.
- Pregnancy &amp; Breastfeeding Risk: False. Not applicable per profile.
- Alcohol Use Risk: True. Acute intoxication is the decisive hazard; concurrent olanzapine use is contraindicated.
- Tobacco Use Risk: False. Never smoker; no enzyme induction concern.
- Substance Use Risk: False. No other substance use reported.
- Caffeine Intake Risk: False. Low caffeine intake; no interaction.
- Weight/BMI Risk: False. BMI 22.9 within normal range.
- Age Risk: False. Age 33 is not a risk factor for olanzapine.
FINAL VERDICT: The patient’s acute alcohol intoxication combined with olanzapine produces additive CNS depression, making continuation of the dose unsafe until alcohol intoxication resolves.</t>
        </is>
      </c>
      <c r="G5" s="11" t="n"/>
      <c r="H5" s="11" t="n"/>
      <c r="I5" s="11" t="n"/>
      <c r="J5" s="11" t="n"/>
      <c r="K5" s="11" t="n"/>
      <c r="L5" s="11" t="n"/>
      <c r="M5" s="11" t="n"/>
      <c r="N5" s="11" t="n"/>
      <c r="O5" s="12" t="n"/>
    </row>
    <row r="6" ht="180" customHeight="1">
      <c r="A6" s="6" t="n">
        <v>5</v>
      </c>
      <c r="B6" s="6" t="inlineStr">
        <is>
          <t>4870</t>
        </is>
      </c>
      <c r="C6" s="10" t="inlineStr">
        <is>
          <t>PATIENT PROFILE
  Age: 60.0
  Gender: Male
  Weight (kg): 76
  Height (cm): 174
  BMI: 25.1
  Genetic Disorders: Not reported
  Chronic Conditions: Alcoholic cirrhosis (Child-Pugh B); chronic low back pain
  Pregnancy / Breastfeeding: Not applicable (male)
  Drug Allergies: Not reported
  Renal Impairment: None (CrCl 80 mL/min)
  Hepatic Impairment: Moderate (Child-Pugh B)
  Cardiac Impairment: Not reported
  Respiratory Impairment: Not reported
  Alcohol Use: Active heavy (approximately 8 drinks/day, ongoing)
  Tobacco Use: Current (1 pack/day)
  Substance Use: Not reported
  Caffeine Intake: Moderate (2 cups coffee/day)
  Current Medications: Not reported
  Foods (Last 24h): Alcohol throughout day; ascites present
  Symptoms: Chronic low back pain, abdominal distension
PHYSICIAN ASSESSMENT
  Diagnosis: Chronic low back pain with alcoholic cirrhosis
  Recommended Medication: Hydrocodone
  Dosage: 20 mg PO once daily (ER tablet)
  Duration: chronic (ongoing)
CLINICAL SCENARIO
  A 60-year-old man with alcoholic cirrhosis (Child-Pugh B) who still drinks about 8 alcoholic drinks daily is proposed for hydrocodone ER tablets 20 mg once daily. Is this safe?</t>
        </is>
      </c>
      <c r="D6" s="8" t="inlineStr">
        <is>
          <t>UNSAFE</t>
        </is>
      </c>
      <c r="E6" s="9" t="inlineStr">
        <is>
          <t>Hepatic
Alcohol</t>
        </is>
      </c>
      <c r="F6" s="10" t="inlineStr">
        <is>
          <t>CONFLICT IDENTIFICATION: The hazard arises from two intertwined patient attributes: (1) moderate hepatic impairment (Child-Pugh B cirrhosis) and (2) active heavy alcohol consumption (~8 drinks/day ongoing). These create opposing and compounding risks with the proposed opioid.
PHARMACOLOGICAL RULE: Hydrocodone is a prodrug requiring hepatic CYP2D6‑mediated O‑demethylation to its active metabolite hydromorphone, and both parent drug and metabolite undergo glucuronidation. In Child‑Pugh B cirrhosis, intrinsic clearance is reduced and oral bioavailability is markedly increased, leading to elevated and prolonged systemic exposure. Concurrent alcohol acts as a CNS depressant, synergistically increasing the risks of respiratory depression, sedation, and cognitive impairment; alcohol also independently exacerbates underlying liver injury and can further impair opioid metabolism.
LOGICAL BRIDGE: The patient’s specific profile—a cirrhotic liver with ongoing alcoholic injury—overrides the general safety assumptions of a standard opioid dose. Even a 20 mg daily ER dose poses a substantial risk of accumulation and toxicity, and the behavioral pattern of daily heavy drinking amplifies the potential for additive CNS depression and poor clinical outcomes, rendering the prescription unsafe.
CATEGORY AUDIT:
- Allergy &amp; Adverse Drug Reaction Risk: FALSE. No drug allergies documented.
- Drug-Drug Interaction Risk: FALSE. No concurrent medications are present.
- Drug-Food Interaction Risk: FALSE. No food–opioid interactions of concern beyond alcohol, which is accounted separately.
- Dosage &amp; Toxicity Risk: FALSE. Although the dose is not supra‑therapeutic per se, the primary safety concern is driven by hepatic impairment and alcohol, not an inappropriate starting dose in a risk‑adjusted context.
- Renal Impairment Risk: FALSE. CrCl 80 mL/min—normal, no concern.
- Hepatic Impairment Risk: TRUE. Child‑Pugh B cirrhosis directly reduces hydrocodone clearance and increases toxicity risk.
- Cardiac Impairment Risk: FALSE. No cardiac impairment reported.
- Respiratory Impairment Risk: FALSE. No baseline respiratory disease.
- Bleeding Risk: FALSE. No coagulopathy or bleeding history cited.
- Infection Risk: FALSE. No infection present.
- Pregnancy &amp; Breastfeeding Risk: FALSE. Patient is male, not applicable.
- Alcohol Use Risk: TRUE. Active heavy drinking (8 drinks/day) synergizes with opioid CNS depression and worsens hepatic function.
- Tobacco Use Risk: FALSE. Tobacco use is present but not a decisive safety factor for hydrocodone.
- Substance Use Risk: FALSE. No other substance use reported.
- Caffeine Intake Risk: FALSE. Moderate caffeine intake, no interaction.
- Weight/BMI Risk: FALSE. BMI 25.1, within normal range.
- Age Risk: FALSE. Age 60 alone is not a contraindication.
FINAL VERDICT: The combination of Child‑Pugh B cirrhosis and ongoing heavy alcohol consumption makes hydrocodone ER 20 mg daily unsafe due to heightened risk of opioid accumulation, toxicity, and additive CNS depression.</t>
        </is>
      </c>
      <c r="G6" s="11" t="n"/>
      <c r="H6" s="11" t="n"/>
      <c r="I6" s="11" t="n"/>
      <c r="J6" s="11" t="n"/>
      <c r="K6" s="11" t="n"/>
      <c r="L6" s="11" t="n"/>
      <c r="M6" s="11" t="n"/>
      <c r="N6" s="11" t="n"/>
      <c r="O6" s="12" t="n"/>
    </row>
    <row r="7" ht="180" customHeight="1">
      <c r="A7" s="6" t="n">
        <v>6</v>
      </c>
      <c r="B7" s="6" t="inlineStr">
        <is>
          <t>4244</t>
        </is>
      </c>
      <c r="C7" s="10" t="inlineStr">
        <is>
          <t>PATIENT PROFILE
  Age: 57.0
  Gender: Male
  Weight (kg): 84
  Height (cm): 178
  BMI: 26.5
  Genetic Disorders: Hereditary lactose intolerance
  Chronic Conditions: Hypertension, hyperlipidemia, depression; remote alcohol use disorder in remission
  Pregnancy / Breastfeeding: Not applicable (male)
  Drug Allergies: NKDA
  Renal Impairment: Mild (CrCl 66 mL/min)
  Hepatic Impairment: None (normal LFTs)
  Cardiac Impairment: Controlled hypertension
  Respiratory Impairment: Mild intermittent asthma, well controlled
  Alcohol Use: Former heavy, abstinent 7 yrs
  Tobacco Use: Current, 0.5 pack/day
  Substance Use: Former opioid use, in sustained remission
  Caffeine Intake: Moderate (1-2 cups coffee/day)
  Current Medications: Amlodipine 5 mg PO daily, atorvastatin 40 mg PO daily
  Foods (Last 24h): Regular balanced meals; dose taken after a light snack
  Symptoms: Low mood, insomnia
PHYSICIAN ASSESSMENT
  Diagnosis: Major depressive disorder with hypertension and hyperlipidemia
  Recommended Medication: Trazodone
  Dosage: 100 mg PO at bedtime
  Duration: chronic (ongoing)
CLINICAL SCENARIO
  A 57-year-old man with controlled hypertension and hyperlipidemia, a former heavy drinker abstinent 7 years, on amlodipine and atorvastatin, is proposed trazodone. Is this safe?</t>
        </is>
      </c>
      <c r="D7" s="13" t="inlineStr">
        <is>
          <t>SAFE</t>
        </is>
      </c>
      <c r="E7" s="9" t="inlineStr">
        <is>
          <t>(none)</t>
        </is>
      </c>
      <c r="F7" s="10" t="inlineStr">
        <is>
          <t>## Verification Protocol: SAFE CASE
**Constraint Check**  
Renal function (CrCl 66 mL/min) mild impairment, but trazodone dose adjustment is not required per guidelines. Hepatic function normal. Cardiac: controlled hypertension, no QTc-prolongation vulnerability. Respiratory: well-controlled asthma. Allergies: NKDA, lactose intolerance not a contraindication. Lifestyle: alcohol abstinent 7 years; opioid remission sustained. No conflicting factors.
**Dose/BMI Alignment**  
BMI 26.5 (overweight), age 57. Trazodone 100 mg at bedtime is a standard starting dose for depression; no weight- or age-based adjustment needed.
**Near-Miss Noting**  
Former alcohol and opioid use history initially raised concern for CNS depression or abuse, but sustained remission and trazodone’s low abuse liability nullify this. Mild renal impairment might worry for accumulation, but CrCl &gt;30 mL/min is handled without dose reduction.
## Category Audit
- **Allergy &amp; Adverse Drug Reaction Risk**: FALSE – No allergy history; trazodone rarely causes ADRs.
- **Drug-Drug Interaction Risk**: FALSE – No significant interaction with amlodipine or atorvastatin; weak CYP3A4 inhibition not clinically relevant.
- **Drug-Food Interaction Risk**: FALSE – No interaction; snack does not alter absorption.
- **Dosage &amp; Toxicity Risk**: FALSE – 100 mg within therapeutic range; no toxicity.
- **Renal Impairment Risk**: FALSE – CrCl 66 mL/min mild; no accumulation.
- **Hepatic Impairment Risk**: FALSE – Normal LFTs.
- **Cardiac Impairment Risk**: FALSE – Controlled hypertension; no arrhythmia risk at this dose.
- **Respiratory Impairment Risk**: FALSE – Well-controlled asthma; trazodone does not depress respiration.
- **Bleeding Risk**: FALSE – No anticoagulants; trazodone not associated.
- **Infection Risk**: FALSE – Not immunocompromised.
- **Pregnancy &amp; Breastfeeding Risk**: FALSE – Not applicable.
- **Alcohol Use Risk**: FALSE – Abstinent 7 years; no concurrent use.
- **Tobacco Use Risk**: FALSE – Smoking may slightly induce trazodone metabolism but not a safety concern.
- **Substance Use Risk**: FALSE – Remission; low abuse liability.
- **Caffeine Intake Risk**: FALSE – Moderate intake; no interference.
- **Weight/BMI Risk**: FALSE – Overweight but no dose concern.
- **Age Risk**: FALSE – 57 not elderly; no age-related caution.
## Final Verdict
The patient’s mild renal impairment is not clinically significant for trazodone, all comorbidities are controlled, and no drug interactions or lifestyle conflicts exist, confirming the safety of 100 mg at bedtime.</t>
        </is>
      </c>
      <c r="G7" s="11" t="n"/>
      <c r="H7" s="11" t="n"/>
      <c r="I7" s="11" t="n"/>
      <c r="J7" s="11" t="n"/>
      <c r="K7" s="11" t="n"/>
      <c r="L7" s="11" t="n"/>
      <c r="M7" s="11" t="n"/>
      <c r="N7" s="11" t="n"/>
      <c r="O7" s="12" t="n"/>
    </row>
    <row r="8" ht="180" customHeight="1">
      <c r="A8" s="6" t="n">
        <v>7</v>
      </c>
      <c r="B8" s="6" t="inlineStr">
        <is>
          <t>817</t>
        </is>
      </c>
      <c r="C8" s="10" t="inlineStr">
        <is>
          <t>PATIENT PROFILE
  Age: 30.0
  Gender: Female
  Weight (kg): 60
  Height (cm): 165
  BMI: 22.0
  Genetic Disorders: None reported
  Chronic Conditions: Refractory migraine
  Pregnancy / Breastfeeding: Not pregnant, not breastfeeding
  Drug Allergies: None known
  Renal Impairment: Not reported
  Hepatic Impairment: Not reported
  Cardiac Impairment: Not reported
  Respiratory Impairment: Not reported
  Alcohol Use: None today
  Tobacco Use: Never
  Substance Use: Not reported
  Caffeine Intake: 1 cup coffee
  Current Medications: Sumatriptan 100 mg taken three times in last 18 hours (total 300 mg)
  Foods (Last 24h): Light meals due to migraine
  Symptoms: Persistent migraine despite repeated dosing; tingling, chest tightness
PHYSICIAN ASSESSMENT
  Diagnosis: Refractory migraine; suspected sumatriptan overuse
  Recommended Medication: Self-administered (overuse)
  Dosage: 300 mg/24h (above maximum)
  Duration: Repeated dosing
CLINICAL SCENARIO
  A 30-year-old woman with refractory migraine took 100 mg sumatriptan three times within 18 hours (300 mg) and is now reporting tingling and chest tightness. Is this safe?</t>
        </is>
      </c>
      <c r="D8" s="8" t="inlineStr">
        <is>
          <t>UNSAFE</t>
        </is>
      </c>
      <c r="E8" s="9" t="inlineStr">
        <is>
          <t>Dose/Tox
Cardiac</t>
        </is>
      </c>
      <c r="F8" s="10" t="inlineStr">
        <is>
          <t>CONFLICT IDENTIFICATION: The primary hazard is the patient’s current medication—sumatriptan 100 mg taken three times within 18 hours (total 300 mg), which exceeds the recommended maximum daily dose of 200 mg. The presenting symptoms of tingling and chest tightness are clinically significant adverse effects strongly associated with triptan overuse, including coronary vasospasm and serotonin excess.
PHARMACOLOGICAL RULE: Sumatriptan is a 5-HT1B/1D receptor agonist that can induce vasoconstriction, particularly in coronary arteries. The FDA‑approved maximum adult dose is 200 mg per 24 hours. Exceeding this limit increases the risk of myocardial ischemia, cardiac arrhythmia, and serotonin syndrome, especially when repeated doses are taken in close succession without adequate washout.
LOGICAL BRIDGE: Despite the absence of overt cardiac impairment in the patient’s profile, the cumulative dose violates a well‑established safety boundary. The occurrence of chest tightness in this setting overrides general assumptions of tolerability and necessitates an “unsafe” verdict because it signals a potentially life‑threatening pharmacodynamic event triggered by supratherapeutic exposure.
CATEGORY AUDIT:
- **Allergy &amp; Adverse Drug Reaction Risk**: FALSE. No known drug allergies; chest tightness is a dose‑related adverse effect, not an allergic reaction.
- **Drug-Drug Interaction Risk**: FALSE. No interacting concomitant medications reported.
- **Drug-Food Interaction Risk**: FALSE. No significant food interactions with sumatriptan.
- **Dosage &amp; Toxicity Risk**: TRUE. Sumatriptan 300 mg/24 h exceeds the 200 mg maximum; overdose risk for serotonin syndrome and vascular events.
- **Renal Impairment Risk**: FALSE. No renal impairment documented.
- **Hepatic Impairment Risk**: FALSE. No hepatic impairment documented.
- **Cardiac Impairment Risk**: TRUE. Chest tightness suggests possible triptan‑induced coronary vasospasm; even without known cardiac disease, this symptom is a contraindication to further dosing and indicates cardiac risk.
- **Respiratory Impairment Risk**: FALSE. No respiratory impairment.
- **Bleeding Risk**: FALSE. No antithrombotic use or bleeding disorder.
- **Infection Risk**: FALSE. No infection present.
- **Pregnancy &amp; Breastfeeding Risk**: FALSE. Not pregnant, not breastfeeding.
- **Alcohol Use Risk**: FALSE. No alcohol consumed today.
- **Tobacco Use Risk**: FALSE. Never smoking reduces vascular risk, but not protective against triptan toxicity.
- **Substance Use Risk**: FALSE. No substance use reported.
- **Caffeine Intake Risk**: FALSE. One cup of coffee is within typical intake; no interaction with sumatriptan.
- **Weight/BMI Risk**: FALSE. BMI 22 kg/m² is normal; no dosing adjustment needed.
- **Age Risk**: FALSE. Age 30 does not independently increase triptan risk.
FINAL VERDICT: The unsafe verdict is decisively driven by supratherapeutic sumatriptan dosing (300 mg/24 h) and the emergence of chest tightness—a sentinel cardiac warning sign—together identifying an acute dosage–toxicity and cardiac risk scenario that mandates immediate discontinuation and evaluation.</t>
        </is>
      </c>
      <c r="G8" s="11" t="n"/>
      <c r="H8" s="11" t="n"/>
      <c r="I8" s="11" t="n"/>
      <c r="J8" s="11" t="n"/>
      <c r="K8" s="11" t="n"/>
      <c r="L8" s="11" t="n"/>
      <c r="M8" s="11" t="n"/>
      <c r="N8" s="11" t="n"/>
      <c r="O8" s="12" t="n"/>
    </row>
    <row r="9" ht="180" customHeight="1">
      <c r="A9" s="6" t="n">
        <v>8</v>
      </c>
      <c r="B9" s="6" t="inlineStr">
        <is>
          <t>1654</t>
        </is>
      </c>
      <c r="C9" s="10" t="inlineStr">
        <is>
          <t>PATIENT PROFILE
  Age: 41.0
  Gender: Female
  Weight (kg): 60
  Height (cm): 158
  BMI: 24.0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Occasional
  Tobacco Use: Never
  Substance Use: Not reported
  Caffeine Intake: Not reported
  Current Medications: Levothyroxine 100 mcg AM; ferrous sulfate 325 mg at dinner
  Foods (Last 24h): Empty stomach AM; iron taken at evening meal
  Symptoms: Mild fatigue improving
PHYSICIAN ASSESSMENT
  Diagnosis: Hypothyroidism with iron-deficiency anemia
  Recommended Medication: Synthroid (levothyroxine)
  Dosage: 100 mcg once daily in the morning
  Duration: Chronic
CLINICAL SCENARIO
  A 41-year-old woman with iron-deficiency anemia takes levothyroxine each morning on an empty stomach and takes her ferrous sulfate with the evening meal, well over 4 hours apart.</t>
        </is>
      </c>
      <c r="D9" s="13" t="inlineStr">
        <is>
          <t>SAFE</t>
        </is>
      </c>
      <c r="E9" s="9" t="inlineStr">
        <is>
          <t>(none)</t>
        </is>
      </c>
      <c r="F9" s="10" t="inlineStr">
        <is>
          <t>VERIFICATION PROTOCOL: SAFE CASE
CONSTRAINT CHECK: Personalized factors have been fully reviewed. No renal, hepatic, cardiac, or respiratory impairment is present. No drug allergies are reported. The patient is not pregnant or breastfeeding. Alcohol use is occasional and does not conflict with the prescribed medications. All constraints are satisfied.
DOSE/BMI ALIGNMENT: BMI is 24.0 (normal range). Levothyroxine 100 mcg once daily is a standard maintenance dose for hypothyroidism in an adult of this weight. Ferrous sulfate 325 mg (65 mg elemental iron) once daily with a meal is appropriate for iron-deficiency anemia. Dosages are within guidelines; no adjustment needed for age or weight.
NEAR-MISS NOTING: The most notable near-miss is the known drug-drug interaction between levothyroxine and oral iron supplements. Iron cations can chelate levothyroxine, reducing its absorption by up to 40% if taken together. However, the patient separates the two doses by more than four hours—levothyroxine on an empty stomach in the morning and ferrous sulfate with the evening meal—which is the standard recommended strategy to avoid this interaction. Thus, the concern is effectively mitigated.
CATEGORY AUDIT
Allergy &amp; Adverse Drug Reaction Risk: No known allergies or previous adverse reactions to either drug; false.
Drug-Drug Interaction Risk: The &gt;4-hour separation of levothyroxine and ferrous sulfate eliminates the clinically important chelation interaction; false.
Drug-Food Interaction Risk: Levothyroxine is taken correctly on an empty stomach; iron is taken with food as advised; no food interaction of concern.
Dosage &amp; Toxicity Risk: Both doses are within standard therapeutic ranges; no toxicity expected.
Renal Impairment Risk: No renal impairment documented; no dose adjustment required.
Hepatic Impairment Risk: No hepatic impairment documented; no concern.
Cardiac Impairment Risk: No cardiac impairment documented; both drugs are safe.
Respiratory Impairment Risk: No respiratory impairment documented; no concern.
Bleeding Risk: Neither medication carries a bleeding risk; false.
Infection Risk: No immunocompromising conditions or treatments; false.
Pregnancy &amp; Breastfeeding Risk: Patient is not pregnant or breastfeeding; false.
Alcohol Use Risk: Occasional alcohol use is not contraindicated with levothyroxine or iron; false.
Tobacco Use Risk: Never smoker; false.
Substance Use Risk: No substance use reported; false.
Caffeine Intake Risk: No caffeine intake noted; no interaction with these medications.
Weight/BMI Risk: BMI 24.0 is normal; no dose adjustment needed.
Age Risk: Age 41 is not a risk factor for levothyroxine or iron therapy.
FINAL VERDICT: The regimen is safe because the critical drug-drug interaction between levothyroxine and iron is avoided by proper timing, all other patient-specific risk factors are absent, and doses are standard for the patient’s age, weight, and conditions.</t>
        </is>
      </c>
      <c r="G9" s="11" t="n"/>
      <c r="H9" s="11" t="n"/>
      <c r="I9" s="11" t="n"/>
      <c r="J9" s="11" t="n"/>
      <c r="K9" s="11" t="n"/>
      <c r="L9" s="11" t="n"/>
      <c r="M9" s="11" t="n"/>
      <c r="N9" s="11" t="n"/>
      <c r="O9" s="12" t="n"/>
    </row>
  </sheetData>
  <dataValidations count="3">
    <dataValidation sqref="G2 G3 G4 G5 G6 G7 G8 G9" showDropDown="0" showInputMessage="0" showErrorMessage="0" allowBlank="1" type="list">
      <formula1>"AGREE,DISAGREE,UNSURE"</formula1>
    </dataValidation>
    <dataValidation sqref="H2 H3 H4 H5 H6 H7 H8 H9 I2 I3 I4 I5 I6 I7 I8 I9" showDropDown="0" showInputMessage="0" showErrorMessage="0" allowBlank="1" type="list">
      <formula1>"1,2,3,4,5"</formula1>
    </dataValidation>
    <dataValidation sqref="J2 J3 J4 J5 J6 J7 J8 J9 K2 K3 K4 K5 K6 K7 K8 K9 L2 L3 L4 L5 L6 L7 L8 L9 M2 M3 M4 M5 M6 M7 M8 M9 N2 N3 N4 N5 N6 N7 N8 N9"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2026-10-01T19:40:08Z</dcterms:created>
  <dcterms:modified xmlns:dcterms="http://purl.org/dc/terms/" xmlns:xsi="http://www.w3.org/2001/XMLSchema-instance" xsi:type="dcterms:W3CDTF">2026-10-01T19:40:08Z</dcterms:modified>
</cp:coreProperties>
</file>